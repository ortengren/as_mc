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ethological_Differences" sheetId="1" state="visible" r:id="rId3"/>
    <sheet name="Measurement_Result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<sst xmlns="http://schemas.openxmlformats.org/spreadsheetml/2006/main" count="29" uniqueCount="27">
  <si>
    <t xml:space="preserve">Current Work</t>
  </si>
  <si>
    <t xml:space="preserve">Cacelli et al. GBQIII</t>
  </si>
  <si>
    <t xml:space="preserve">Cutoff Method</t>
  </si>
  <si>
    <t xml:space="preserve">truncate</t>
  </si>
  <si>
    <t xml:space="preserve">truncate and shift</t>
  </si>
  <si>
    <t xml:space="preserve">Cutoff Distance</t>
  </si>
  <si>
    <t xml:space="preserve">13.6 Å</t>
  </si>
  <si>
    <t xml:space="preserve">15 Å</t>
  </si>
  <si>
    <t xml:space="preserve">Hard Particle Overlaps</t>
  </si>
  <si>
    <t xml:space="preserve">treat as valid</t>
  </si>
  <si>
    <t xml:space="preserve">immediately reject</t>
  </si>
  <si>
    <t xml:space="preserve">Acceptance Target</t>
  </si>
  <si>
    <t xml:space="preserve">Particle Count</t>
  </si>
  <si>
    <t xml:space="preserve">Experiment</t>
  </si>
  <si>
    <t xml:space="preserve">Run 1</t>
  </si>
  <si>
    <t xml:space="preserve">Run 2</t>
  </si>
  <si>
    <t xml:space="preserve">Run 3</t>
  </si>
  <si>
    <t xml:space="preserve">Run Average</t>
  </si>
  <si>
    <t xml:space="preserve">Run Std Dev</t>
  </si>
  <si>
    <t xml:space="preserve">Density 
(g / cm³)</t>
  </si>
  <si>
    <t xml:space="preserve">Enthalpy of Vaporization (kJ / mol)</t>
  </si>
  <si>
    <t xml:space="preserve">Nematic Order</t>
  </si>
  <si>
    <t xml:space="preserve">-</t>
  </si>
  <si>
    <t xml:space="preserve">Heat Capacity 
(J / mol K)</t>
  </si>
  <si>
    <t xml:space="preserve">a (Å)</t>
  </si>
  <si>
    <t xml:space="preserve">b (Å)</t>
  </si>
  <si>
    <t xml:space="preserve">c (Å)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</si>
</sst>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%"/>
    <numFmt numFmtId="166" formatCode="0.00000"/>
    <numFmt numFmtId="167" formatCode="0.0000E+00"/>
    <numFmt numFmtId="168" formatCode="0.00E+00"/>
    <numFmt numFmtId="169" formatCode="0.000"/>
    <numFmt numFmtId="170" formatCode="0.000000"/>
    <numFmt numFmtId="171" formatCode="0.000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J18" activeCellId="0" sqref="J1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3.91"/>
    <col collapsed="false" customWidth="true" hidden="false" outlineLevel="0" max="2" min="2" style="2" width="13.41"/>
    <col collapsed="false" customWidth="true" hidden="false" outlineLevel="0" max="3" min="3" style="2" width="19.21"/>
    <col collapsed="false" customWidth="false" hidden="false" outlineLevel="0" max="16384" min="4" style="2" width="11.53"/>
  </cols>
  <sheetData>
    <row r="1" s="1" customFormat="true" ht="12.8" hidden="false" customHeight="false" outlineLevel="0" collapsed="false">
      <c r="A1" s="3"/>
      <c r="B1" s="4" t="s">
        <v>0</v>
      </c>
      <c r="C1" s="5" t="s">
        <v>1</v>
      </c>
    </row>
    <row r="2" customFormat="false" ht="12.8" hidden="false" customHeight="false" outlineLevel="0" collapsed="false">
      <c r="A2" s="3" t="s">
        <v>2</v>
      </c>
      <c r="B2" s="6" t="s">
        <v>3</v>
      </c>
      <c r="C2" s="7" t="s">
        <v>4</v>
      </c>
    </row>
    <row r="3" customFormat="false" ht="12.8" hidden="false" customHeight="false" outlineLevel="0" collapsed="false">
      <c r="A3" s="3" t="s">
        <v>5</v>
      </c>
      <c r="B3" s="6" t="s">
        <v>6</v>
      </c>
      <c r="C3" s="7" t="s">
        <v>7</v>
      </c>
    </row>
    <row r="4" customFormat="false" ht="23.5" hidden="false" customHeight="false" outlineLevel="0" collapsed="false">
      <c r="A4" s="3" t="s">
        <v>8</v>
      </c>
      <c r="B4" s="6" t="s">
        <v>9</v>
      </c>
      <c r="C4" s="7" t="s">
        <v>10</v>
      </c>
    </row>
    <row r="5" customFormat="false" ht="23.5" hidden="false" customHeight="false" outlineLevel="0" collapsed="false">
      <c r="A5" s="3" t="s">
        <v>11</v>
      </c>
      <c r="B5" s="8" t="n">
        <v>0.275</v>
      </c>
      <c r="C5" s="9" t="n">
        <v>0.3</v>
      </c>
    </row>
    <row r="6" customFormat="false" ht="12.8" hidden="false" customHeight="false" outlineLevel="0" collapsed="false">
      <c r="A6" s="3" t="s">
        <v>12</v>
      </c>
      <c r="B6" s="6" t="n">
        <v>400</v>
      </c>
      <c r="C6" s="7" t="n">
        <v>500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C25" activeCellId="0" sqref="C2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3"/>
    <col collapsed="false" customWidth="true" hidden="false" outlineLevel="0" max="8" min="2" style="2" width="12.95"/>
    <col collapsed="false" customWidth="false" hidden="false" outlineLevel="0" max="16384" min="9" style="2" width="11.53"/>
  </cols>
  <sheetData>
    <row r="1" s="1" customFormat="true" ht="23.85" hidden="false" customHeight="false" outlineLevel="0" collapsed="false">
      <c r="A1" s="3"/>
      <c r="B1" s="4" t="s">
        <v>1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10" t="s">
        <v>18</v>
      </c>
      <c r="I1" s="0"/>
      <c r="J1" s="0"/>
    </row>
    <row r="2" customFormat="false" ht="23.85" hidden="false" customHeight="false" outlineLevel="0" collapsed="false">
      <c r="A2" s="3" t="s">
        <v>19</v>
      </c>
      <c r="B2" s="6" t="n">
        <v>1.34</v>
      </c>
      <c r="C2" s="6" t="n">
        <v>1.12</v>
      </c>
      <c r="D2" s="6" t="n">
        <v>1.3437</v>
      </c>
      <c r="E2" s="6" t="n">
        <v>1.3436</v>
      </c>
      <c r="F2" s="6" t="n">
        <v>1.3436</v>
      </c>
      <c r="G2" s="11" t="n">
        <f aca="false">AVERAGE(D2, E2, F2)</f>
        <v>1.34363333333333</v>
      </c>
      <c r="H2" s="12" t="n">
        <f aca="false">STDEV(D2, E2, F2)</f>
        <v>5.77350269189562E-005</v>
      </c>
      <c r="I2" s="0"/>
      <c r="J2" s="0"/>
    </row>
    <row r="3" customFormat="false" ht="23.85" hidden="false" customHeight="false" outlineLevel="0" collapsed="false">
      <c r="A3" s="3" t="s">
        <v>20</v>
      </c>
      <c r="B3" s="6" t="n">
        <v>43.932</v>
      </c>
      <c r="C3" s="6" t="n">
        <v>47.07</v>
      </c>
      <c r="D3" s="6" t="n">
        <v>45.4274</v>
      </c>
      <c r="E3" s="6" t="n">
        <v>45.4285</v>
      </c>
      <c r="F3" s="6" t="n">
        <v>45.4292</v>
      </c>
      <c r="G3" s="11" t="n">
        <f aca="false">AVERAGE(D3, E3, F3)</f>
        <v>45.4283666666667</v>
      </c>
      <c r="H3" s="13" t="n">
        <f aca="false">STDEV(D3, E3, F3)</f>
        <v>0.000907377172589156</v>
      </c>
      <c r="I3" s="0"/>
      <c r="J3" s="0"/>
    </row>
    <row r="4" customFormat="false" ht="12.8" hidden="false" customHeight="false" outlineLevel="0" collapsed="false">
      <c r="A4" s="3" t="s">
        <v>21</v>
      </c>
      <c r="B4" s="6" t="n">
        <v>0.292</v>
      </c>
      <c r="C4" s="6" t="s">
        <v>22</v>
      </c>
      <c r="D4" s="6" t="n">
        <v>0.2893</v>
      </c>
      <c r="E4" s="6" t="n">
        <v>0.2884</v>
      </c>
      <c r="F4" s="6" t="n">
        <v>0.2874</v>
      </c>
      <c r="G4" s="11" t="n">
        <f aca="false">AVERAGE(D4, E4, F4)</f>
        <v>0.288366666666667</v>
      </c>
      <c r="H4" s="13" t="n">
        <f aca="false">STDEV(D4, E4, F4)</f>
        <v>0.000950438495292223</v>
      </c>
      <c r="I4" s="0"/>
      <c r="J4" s="0"/>
    </row>
    <row r="5" customFormat="false" ht="23.5" hidden="false" customHeight="false" outlineLevel="0" collapsed="false">
      <c r="A5" s="3" t="s">
        <v>23</v>
      </c>
      <c r="B5" s="6" t="s">
        <v>22</v>
      </c>
      <c r="C5" s="6" t="n">
        <v>50.417</v>
      </c>
      <c r="D5" s="6" t="n">
        <v>51.684</v>
      </c>
      <c r="E5" s="6" t="n">
        <v>50.922</v>
      </c>
      <c r="F5" s="6" t="n">
        <v>50.439</v>
      </c>
      <c r="G5" s="14" t="n">
        <f aca="false">AVERAGE(D5, E5, F5)</f>
        <v>51.015</v>
      </c>
      <c r="H5" s="15" t="n">
        <f aca="false">STDEV(D5, E5, F5)</f>
        <v>0.627688617070597</v>
      </c>
      <c r="I5" s="0"/>
      <c r="J5" s="0"/>
    </row>
    <row r="6" customFormat="false" ht="12.8" hidden="false" customHeight="false" outlineLevel="0" collapsed="false">
      <c r="A6" s="3" t="s">
        <v>24</v>
      </c>
      <c r="B6" s="6" t="n">
        <v>8.75</v>
      </c>
      <c r="C6" s="6" t="n">
        <v>7.37</v>
      </c>
      <c r="D6" s="6" t="n">
        <v>8.752</v>
      </c>
      <c r="E6" s="6" t="n">
        <v>8.752</v>
      </c>
      <c r="F6" s="6" t="n">
        <v>8.75</v>
      </c>
      <c r="G6" s="14" t="n">
        <f aca="false">AVERAGE(D6, E6, F6)</f>
        <v>8.75133333333333</v>
      </c>
      <c r="H6" s="15" t="n">
        <f aca="false">STDEV(D6, E6, F6)</f>
        <v>0.00115470053837964</v>
      </c>
      <c r="I6" s="0"/>
      <c r="J6" s="0"/>
    </row>
    <row r="7" customFormat="false" ht="12.8" hidden="false" customHeight="false" outlineLevel="0" collapsed="false">
      <c r="A7" s="3" t="s">
        <v>25</v>
      </c>
      <c r="B7" s="6" t="n">
        <v>6.19</v>
      </c>
      <c r="C7" s="6" t="n">
        <v>9.34</v>
      </c>
      <c r="D7" s="6" t="n">
        <v>6.152</v>
      </c>
      <c r="E7" s="6" t="n">
        <v>6.15</v>
      </c>
      <c r="F7" s="6" t="n">
        <v>6.15</v>
      </c>
      <c r="G7" s="14" t="n">
        <f aca="false">AVERAGE(D7, E7, F7)</f>
        <v>6.15066666666667</v>
      </c>
      <c r="H7" s="15" t="n">
        <f aca="false">STDEV(D7, E7, F7)</f>
        <v>0.00115470053837912</v>
      </c>
      <c r="I7" s="0"/>
      <c r="J7" s="0"/>
    </row>
    <row r="8" customFormat="false" ht="12.8" hidden="false" customHeight="false" outlineLevel="0" collapsed="false">
      <c r="A8" s="3" t="s">
        <v>26</v>
      </c>
      <c r="B8" s="6" t="n">
        <v>7.15</v>
      </c>
      <c r="C8" s="6" t="n">
        <v>6.74</v>
      </c>
      <c r="D8" s="6" t="n">
        <v>7.171</v>
      </c>
      <c r="E8" s="6" t="n">
        <v>7.174</v>
      </c>
      <c r="F8" s="6" t="n">
        <v>7.176</v>
      </c>
      <c r="G8" s="16" t="n">
        <f aca="false">AVERAGE(D8, E8, F8)</f>
        <v>7.17366666666667</v>
      </c>
      <c r="H8" s="15" t="n">
        <f aca="false">STDEV(D8, E8, F8)</f>
        <v>0.00251661147842354</v>
      </c>
      <c r="I8" s="0"/>
      <c r="J8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2026-07-29T15:18:23Z</dcterms:created>
  <dc:creator/>
  <dc:description/>
  <dc:language>en-US</dc:language>
  <cp:lastModifiedBy/>
  <dcterms:modified xsi:type="dcterms:W3CDTF">2026-07-29T17:52:04Z</dcterms:modified>
  <cp:revision>4</cp:revision>
  <dc:subject/>
  <dc:title/>
</cp:coreProperties>
</file>